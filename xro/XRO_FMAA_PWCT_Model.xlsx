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ssumptions" sheetId="1" state="visible" r:id="rId1"/>
    <sheet xmlns:r="http://schemas.openxmlformats.org/officeDocument/2006/relationships" name="01_Public_Fundamentals" sheetId="2" state="visible" r:id="rId2"/>
    <sheet xmlns:r="http://schemas.openxmlformats.org/officeDocument/2006/relationships" name="02_Expectations_Gap" sheetId="3" state="visible" r:id="rId3"/>
    <sheet xmlns:r="http://schemas.openxmlformats.org/officeDocument/2006/relationships" name="03_Catalyst_PWCT" sheetId="4" state="visible" r:id="rId4"/>
    <sheet xmlns:r="http://schemas.openxmlformats.org/officeDocument/2006/relationships" name="04_Melio_Bridge" sheetId="5" state="visible" r:id="rId5"/>
    <sheet xmlns:r="http://schemas.openxmlformats.org/officeDocument/2006/relationships" name="05_SOTP_DCF" sheetId="6" state="visible" r:id="rId6"/>
    <sheet xmlns:r="http://schemas.openxmlformats.org/officeDocument/2006/relationships" name="06_Scenarios_PT" sheetId="7" state="visible" r:id="rId7"/>
    <sheet xmlns:r="http://schemas.openxmlformats.org/officeDocument/2006/relationships" name="07_Crowding_Defense" sheetId="8" state="visible" r:id="rId8"/>
    <sheet xmlns:r="http://schemas.openxmlformats.org/officeDocument/2006/relationships" name="08_Macro" sheetId="9" state="visible" r:id="rId9"/>
    <sheet xmlns:r="http://schemas.openxmlformats.org/officeDocument/2006/relationships" name="09_Risks_Gov" sheetId="10" state="visible" r:id="rId10"/>
    <sheet xmlns:r="http://schemas.openxmlformats.org/officeDocument/2006/relationships" name="10_Outputs_Dashboard" sheetId="11" state="visible" r:id="rId11"/>
    <sheet xmlns:r="http://schemas.openxmlformats.org/officeDocument/2006/relationships" name="99_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b val="1"/>
      <color rgb="00006100"/>
      <sz val="1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55" customWidth="1" min="4" max="4"/>
  </cols>
  <sheetData>
    <row r="1">
      <c r="A1" s="1" t="inlineStr">
        <is>
          <t>Xero (ASX:XRO) — FMAA Showcase Model | BUY | Unique edge: Expectations Gap + PWCT + Melio Bridge + Crowding Defense</t>
        </is>
      </c>
    </row>
    <row r="2">
      <c r="A2" t="inlineStr">
        <is>
          <t>As-of 22 Sep 2026 AEST | Generated for BSC-137/FMAA_stockpitch_comp | Tags: [PUBLIC]/[ASSUMPTION]/[MODEL]</t>
        </is>
      </c>
    </row>
    <row r="4">
      <c r="A4" s="2" t="inlineStr">
        <is>
          <t>Input</t>
        </is>
      </c>
      <c r="B4" s="2" t="inlineStr">
        <is>
          <t>Value</t>
        </is>
      </c>
      <c r="C4" s="2" t="inlineStr">
        <is>
          <t>Unit</t>
        </is>
      </c>
      <c r="D4" s="2" t="inlineStr">
        <is>
          <t>Tag</t>
        </is>
      </c>
    </row>
    <row r="5">
      <c r="A5" t="inlineStr">
        <is>
          <t>Spot AUD</t>
        </is>
      </c>
      <c r="B5" s="3" t="n">
        <v>60</v>
      </c>
      <c r="C5" t="inlineStr">
        <is>
          <t>A$</t>
        </is>
      </c>
      <c r="D5" t="inlineStr">
        <is>
          <t>[ASSUMPTION] pitch spot; Fool 21 Sep ~62.78</t>
        </is>
      </c>
    </row>
    <row r="6">
      <c r="A6" t="inlineStr">
        <is>
          <t>Shares (m)</t>
        </is>
      </c>
      <c r="B6" t="n">
        <v>164.588</v>
      </c>
      <c r="C6" t="inlineStr">
        <is>
          <t>m</t>
        </is>
      </c>
      <c r="D6" t="inlineStr">
        <is>
          <t>[ASSUMPTION] post-Melio diluted</t>
        </is>
      </c>
    </row>
    <row r="7">
      <c r="A7" t="inlineStr">
        <is>
          <t>FX NZD→AUD</t>
        </is>
      </c>
      <c r="B7" t="n">
        <v>0.9</v>
      </c>
      <c r="C7" t="inlineStr">
        <is>
          <t>AUD/NZD</t>
        </is>
      </c>
      <c r="D7" t="inlineStr">
        <is>
          <t>[ASSUMPTION]</t>
        </is>
      </c>
    </row>
    <row r="8">
      <c r="A8" t="inlineStr">
        <is>
          <t>Net debt NZDm</t>
        </is>
      </c>
      <c r="B8" t="n">
        <v>400</v>
      </c>
      <c r="C8" t="inlineStr">
        <is>
          <t>NZDm</t>
        </is>
      </c>
      <c r="D8" t="inlineStr">
        <is>
          <t>[PUBLIC] ~post Melio</t>
        </is>
      </c>
    </row>
    <row r="9">
      <c r="A9" t="inlineStr">
        <is>
          <t>WACC</t>
        </is>
      </c>
      <c r="B9" s="4" t="n">
        <v>0.095</v>
      </c>
      <c r="C9" t="inlineStr"/>
      <c r="D9" t="inlineStr">
        <is>
          <t>[ASSUMPTION]</t>
        </is>
      </c>
    </row>
    <row r="10">
      <c r="A10" t="inlineStr">
        <is>
          <t>Terminal g</t>
        </is>
      </c>
      <c r="B10" s="4" t="n">
        <v>0.035</v>
      </c>
      <c r="C10" t="inlineStr"/>
      <c r="D10" t="inlineStr">
        <is>
          <t>[ASSUMPTION]</t>
        </is>
      </c>
    </row>
    <row r="11">
      <c r="A11" t="inlineStr">
        <is>
          <t>Bull weight</t>
        </is>
      </c>
      <c r="B11" s="4" t="n">
        <v>0.25</v>
      </c>
      <c r="C11" t="inlineStr"/>
      <c r="D11" t="inlineStr">
        <is>
          <t>[MODEL]</t>
        </is>
      </c>
    </row>
    <row r="12">
      <c r="A12" t="inlineStr">
        <is>
          <t>Base weight</t>
        </is>
      </c>
      <c r="B12" s="4" t="n">
        <v>0.55</v>
      </c>
      <c r="C12" t="inlineStr"/>
      <c r="D12" t="inlineStr">
        <is>
          <t>[MODEL]</t>
        </is>
      </c>
    </row>
    <row r="13">
      <c r="A13" t="inlineStr">
        <is>
          <t>Bear weight</t>
        </is>
      </c>
      <c r="B13" s="4" t="n">
        <v>0.2</v>
      </c>
      <c r="C13" t="inlineStr"/>
      <c r="D13" t="inlineStr">
        <is>
          <t>[MODEL]</t>
        </is>
      </c>
    </row>
    <row r="15">
      <c r="A15" t="inlineStr">
        <is>
          <t>Derived</t>
        </is>
      </c>
    </row>
    <row r="16">
      <c r="A16" t="inlineStr">
        <is>
          <t>Equity value A$m</t>
        </is>
      </c>
      <c r="B16">
        <f>B5*B6</f>
        <v/>
      </c>
      <c r="C16" t="inlineStr">
        <is>
          <t>[MODEL]</t>
        </is>
      </c>
    </row>
    <row r="17">
      <c r="A17" t="inlineStr">
        <is>
          <t>Net debt A$m</t>
        </is>
      </c>
      <c r="B17">
        <f>B8*B7</f>
        <v/>
      </c>
      <c r="C17" t="inlineStr">
        <is>
          <t>[MODEL]</t>
        </is>
      </c>
    </row>
    <row r="18">
      <c r="A18" t="inlineStr">
        <is>
          <t>EV A$m</t>
        </is>
      </c>
      <c r="B18">
        <f>B16+B17</f>
        <v/>
      </c>
      <c r="C18" t="inlineStr">
        <is>
          <t>[MODEL]</t>
        </is>
      </c>
    </row>
    <row r="19">
      <c r="A19" t="inlineStr">
        <is>
          <t>Weight check (must=1)</t>
        </is>
      </c>
      <c r="B19">
        <f>B11+B12+B13</f>
        <v/>
      </c>
      <c r="C19" t="inlineStr">
        <is>
          <t>[MODEL]</t>
        </is>
      </c>
    </row>
    <row r="21">
      <c r="A21" t="inlineStr">
        <is>
          <t>RECOMMENDATION</t>
        </is>
      </c>
    </row>
    <row r="22">
      <c r="A22" s="5" t="inlineStr">
        <is>
          <t>BUY</t>
        </is>
      </c>
      <c r="B22" t="inlineStr">
        <is>
          <t>Base PT A$90</t>
        </is>
      </c>
      <c r="C22" t="inlineStr">
        <is>
          <t>+50% vs A$60</t>
        </is>
      </c>
      <c r="D22" t="inlineStr">
        <is>
          <t>E[PT]=A$90</t>
        </is>
      </c>
    </row>
    <row r="24">
      <c r="A24" t="inlineStr">
        <is>
          <t>UNIQUE QUALITATIVE EDGE</t>
        </is>
      </c>
    </row>
    <row r="25">
      <c r="A25" t="inlineStr">
        <is>
          <t>1) Expectations Gap — spot implies ~2.9x FY28 exit even on Street growth; fair ~5.0x if Ro40 returns</t>
        </is>
      </c>
    </row>
    <row r="26">
      <c r="A26" t="inlineStr">
        <is>
          <t>2) PWCT — each catalyst has P × ΔPT + KPI + kill-switch (falsifiable)</t>
        </is>
      </c>
    </row>
    <row r="27">
      <c r="A27" t="inlineStr">
        <is>
          <t>3) Melio Embedded Value Bridge — Melio valued as option path to H2 FY28 BE, separate from core SaaS</t>
        </is>
      </c>
    </row>
    <row r="28">
      <c r="A28" t="inlineStr">
        <is>
          <t>4) Crowding Defense — Base PT ~19% BELOW Street avg; Buy for Melio TIMING not Motley-Fool 'buy the dip'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4" customWidth="1" min="4" max="4"/>
    <col width="30" customWidth="1" min="5" max="5"/>
  </cols>
  <sheetData>
    <row r="1">
      <c r="A1" s="1" t="inlineStr">
        <is>
          <t>Public fundamentals (cite sources in 99_Sources)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Tag</t>
        </is>
      </c>
      <c r="E3" s="2" t="inlineStr">
        <is>
          <t>Note</t>
        </is>
      </c>
    </row>
    <row r="4">
      <c r="A4" t="inlineStr">
        <is>
          <t>Rev FY26</t>
        </is>
      </c>
      <c r="B4" t="n">
        <v>2753.081</v>
      </c>
      <c r="C4" t="inlineStr">
        <is>
          <t>NZDm</t>
        </is>
      </c>
      <c r="D4" t="inlineStr">
        <is>
          <t>[PUBLIC]</t>
        </is>
      </c>
      <c r="E4" t="inlineStr">
        <is>
          <t>ASX 14 May 2026</t>
        </is>
      </c>
    </row>
    <row r="5">
      <c r="A5" t="inlineStr">
        <is>
          <t>Adj EBITDA FY26</t>
        </is>
      </c>
      <c r="B5" t="n">
        <v>757.352</v>
      </c>
      <c r="C5" t="inlineStr">
        <is>
          <t>NZDm</t>
        </is>
      </c>
      <c r="D5" t="inlineStr">
        <is>
          <t>[PUBLIC]</t>
        </is>
      </c>
      <c r="E5" t="inlineStr"/>
    </row>
    <row r="6">
      <c r="A6" t="inlineStr">
        <is>
          <t>Ro40 headline FY26</t>
        </is>
      </c>
      <c r="B6" s="4" t="n">
        <v>0.485</v>
      </c>
      <c r="C6" t="inlineStr"/>
      <c r="D6" t="inlineStr">
        <is>
          <t>[PUBLIC]</t>
        </is>
      </c>
      <c r="E6" t="inlineStr"/>
    </row>
    <row r="7">
      <c r="A7" t="inlineStr">
        <is>
          <t>Ro40 pro-forma FY26</t>
        </is>
      </c>
      <c r="B7" s="4" t="n">
        <v>0.36</v>
      </c>
      <c r="C7" t="inlineStr"/>
      <c r="D7" t="inlineStr">
        <is>
          <t>[PUBLIC]</t>
        </is>
      </c>
      <c r="E7" t="inlineStr">
        <is>
          <t>post Melio</t>
        </is>
      </c>
    </row>
    <row r="8">
      <c r="A8" t="inlineStr">
        <is>
          <t>FY27 rev guide LO</t>
        </is>
      </c>
      <c r="B8" t="n">
        <v>3620</v>
      </c>
      <c r="C8" t="inlineStr">
        <is>
          <t>NZDm</t>
        </is>
      </c>
      <c r="D8" t="inlineStr">
        <is>
          <t>[PUBLIC]</t>
        </is>
      </c>
      <c r="E8" t="inlineStr"/>
    </row>
    <row r="9">
      <c r="A9" t="inlineStr">
        <is>
          <t>FY27 rev guide HI</t>
        </is>
      </c>
      <c r="B9" t="n">
        <v>3730</v>
      </c>
      <c r="C9" t="inlineStr">
        <is>
          <t>NZDm</t>
        </is>
      </c>
      <c r="D9" t="inlineStr">
        <is>
          <t>[PUBLIC]</t>
        </is>
      </c>
      <c r="E9" t="inlineStr"/>
    </row>
    <row r="10">
      <c r="A10" t="inlineStr">
        <is>
          <t>FY27 adj EBITDA LO</t>
        </is>
      </c>
      <c r="B10" t="n">
        <v>860</v>
      </c>
      <c r="C10" t="inlineStr">
        <is>
          <t>NZDm</t>
        </is>
      </c>
      <c r="D10" t="inlineStr">
        <is>
          <t>[PUBLIC]</t>
        </is>
      </c>
      <c r="E10" t="inlineStr"/>
    </row>
    <row r="11">
      <c r="A11" t="inlineStr">
        <is>
          <t>FY27 adj EBITDA HI</t>
        </is>
      </c>
      <c r="B11" t="n">
        <v>920</v>
      </c>
      <c r="C11" t="inlineStr">
        <is>
          <t>NZDm</t>
        </is>
      </c>
      <c r="D11" t="inlineStr">
        <is>
          <t>[PUBLIC]</t>
        </is>
      </c>
      <c r="E11" t="inlineStr"/>
    </row>
    <row r="12">
      <c r="A12" t="inlineStr">
        <is>
          <t>FY27 mid rev</t>
        </is>
      </c>
      <c r="B12">
        <f>(B8+B9)/2</f>
        <v/>
      </c>
      <c r="C12" t="inlineStr">
        <is>
          <t>NZDm</t>
        </is>
      </c>
      <c r="D12" t="inlineStr">
        <is>
          <t>[MODEL]</t>
        </is>
      </c>
      <c r="E12" t="inlineStr"/>
    </row>
    <row r="13">
      <c r="A13" t="inlineStr">
        <is>
          <t>FY27 mid adj EBITDA</t>
        </is>
      </c>
      <c r="B13">
        <f>(B10+B11)/2</f>
        <v/>
      </c>
      <c r="C13" t="inlineStr">
        <is>
          <t>NZDm</t>
        </is>
      </c>
      <c r="D13" t="inlineStr">
        <is>
          <t>[MODEL]</t>
        </is>
      </c>
      <c r="E13" t="inlineStr"/>
    </row>
    <row r="14">
      <c r="A14" t="inlineStr">
        <is>
          <t>US brand spend up to</t>
        </is>
      </c>
      <c r="B14" t="n">
        <v>55</v>
      </c>
      <c r="C14" t="inlineStr">
        <is>
          <t>NZDm</t>
        </is>
      </c>
      <c r="D14" t="inlineStr">
        <is>
          <t>[PUBLIC]</t>
        </is>
      </c>
      <c r="E14" t="inlineStr">
        <is>
          <t>in FY27 EBITDA guide</t>
        </is>
      </c>
    </row>
    <row r="15">
      <c r="A15" t="inlineStr">
        <is>
          <t>Melio BE window</t>
        </is>
      </c>
      <c r="B15" t="inlineStr">
        <is>
          <t>H2 FY28</t>
        </is>
      </c>
      <c r="C15" t="inlineStr"/>
      <c r="D15" t="inlineStr">
        <is>
          <t>[PUBLIC]</t>
        </is>
      </c>
      <c r="E15" t="inlineStr"/>
    </row>
    <row r="16">
      <c r="A16" t="inlineStr">
        <is>
          <t>Melio upfront</t>
        </is>
      </c>
      <c r="B16" t="n">
        <v>2.5</v>
      </c>
      <c r="C16" t="inlineStr">
        <is>
          <t>US$bn</t>
        </is>
      </c>
      <c r="D16" t="inlineStr">
        <is>
          <t>[PUBLIC]</t>
        </is>
      </c>
      <c r="E16" t="inlineStr">
        <is>
          <t>ASX 25 Jun 2025</t>
        </is>
      </c>
    </row>
    <row r="17">
      <c r="A17" t="inlineStr">
        <is>
          <t>Melio contingent up to</t>
        </is>
      </c>
      <c r="B17" t="n">
        <v>0.5</v>
      </c>
      <c r="C17" t="inlineStr">
        <is>
          <t>US$bn</t>
        </is>
      </c>
      <c r="D17" t="inlineStr">
        <is>
          <t>[PUBLIC]</t>
        </is>
      </c>
      <c r="E17" t="inlineStr"/>
    </row>
    <row r="18">
      <c r="A18" t="inlineStr">
        <is>
          <t>Customers FY26</t>
        </is>
      </c>
      <c r="B18" t="n">
        <v>4.92</v>
      </c>
      <c r="C18" t="inlineStr">
        <is>
          <t>m</t>
        </is>
      </c>
      <c r="D18" t="inlineStr">
        <is>
          <t>[PUBLIC]</t>
        </is>
      </c>
      <c r="E18" t="inlineStr"/>
    </row>
    <row r="19">
      <c r="A19" t="inlineStr">
        <is>
          <t>AMRR FY26</t>
        </is>
      </c>
      <c r="B19" t="n">
        <v>3273</v>
      </c>
      <c r="C19" t="inlineStr">
        <is>
          <t>NZDm</t>
        </is>
      </c>
      <c r="D19" t="inlineStr">
        <is>
          <t>[PUBLIC]</t>
        </is>
      </c>
      <c r="E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2" customWidth="1" min="4" max="4"/>
    <col width="28" customWidth="1" min="5" max="5"/>
  </cols>
  <sheetData>
    <row r="1">
      <c r="A1" s="1" t="inlineStr">
        <is>
          <t>Expectations Gap — UNIQUE EDGE #1 (reverse multiple)</t>
        </is>
      </c>
    </row>
    <row r="2">
      <c r="A2" t="inlineStr">
        <is>
          <t>BUY = close the gap via Melio BE timing + Ro40, NOT Motley-Fool buy-the-dip</t>
        </is>
      </c>
    </row>
    <row r="4">
      <c r="A4" s="2" t="inlineStr">
        <is>
          <t>Driver</t>
        </is>
      </c>
      <c r="B4" s="2" t="inlineStr">
        <is>
          <t>Spot-implied</t>
        </is>
      </c>
      <c r="C4" s="2" t="inlineStr">
        <is>
          <t>Street mid</t>
        </is>
      </c>
      <c r="D4" s="2" t="inlineStr">
        <is>
          <t>Our bull</t>
        </is>
      </c>
      <c r="E4" s="2" t="inlineStr">
        <is>
          <t>Tag</t>
        </is>
      </c>
    </row>
    <row r="5">
      <c r="A5" t="inlineStr">
        <is>
          <t>FY28 exit EV/Sales (on Street g)</t>
        </is>
      </c>
      <c r="B5" t="n">
        <v>2.87</v>
      </c>
      <c r="C5" t="n">
        <v>5</v>
      </c>
      <c r="D5" t="n">
        <v>5.8</v>
      </c>
      <c r="E5" t="inlineStr">
        <is>
          <t>[MODEL]/[ASSUMPTION]</t>
        </is>
      </c>
    </row>
    <row r="6">
      <c r="A6" t="inlineStr">
        <is>
          <t>FY28 rev growth (context)</t>
        </is>
      </c>
      <c r="B6" t="inlineStr">
        <is>
          <t>n/a</t>
        </is>
      </c>
      <c r="C6" t="n">
        <v>0.18</v>
      </c>
      <c r="D6" t="n">
        <v>0.24</v>
      </c>
      <c r="E6" t="inlineStr">
        <is>
          <t>[ASSUMPTION]</t>
        </is>
      </c>
    </row>
    <row r="7">
      <c r="A7" t="inlineStr">
        <is>
          <t>FY28 Rule-of-40</t>
        </is>
      </c>
      <c r="B7" t="n">
        <v>0.37</v>
      </c>
      <c r="C7" t="n">
        <v>0.41</v>
      </c>
      <c r="D7" t="n">
        <v>0.45</v>
      </c>
      <c r="E7" t="inlineStr">
        <is>
          <t>[ASSUMPTION]</t>
        </is>
      </c>
    </row>
    <row r="8">
      <c r="A8" t="inlineStr">
        <is>
          <t>Melio FY28 rev NZDm</t>
        </is>
      </c>
      <c r="B8" t="n">
        <v>300</v>
      </c>
      <c r="C8" t="n">
        <v>450</v>
      </c>
      <c r="D8" t="n">
        <v>550</v>
      </c>
      <c r="E8" t="inlineStr">
        <is>
          <t>[ASSUMPTION]</t>
        </is>
      </c>
    </row>
    <row r="10">
      <c r="A10" t="inlineStr">
        <is>
          <t>At spot A$60:</t>
        </is>
      </c>
    </row>
    <row r="11">
      <c r="A11" t="inlineStr">
        <is>
          <t>EV/Sales FY27</t>
        </is>
      </c>
      <c r="B11" t="n">
        <v>3.09</v>
      </c>
      <c r="C11" t="inlineStr">
        <is>
          <t>x [MODEL]</t>
        </is>
      </c>
    </row>
    <row r="12">
      <c r="A12" t="inlineStr">
        <is>
          <t>EV/EBITDA FY27</t>
        </is>
      </c>
      <c r="B12" t="n">
        <v>12.8</v>
      </c>
      <c r="C12" t="inlineStr">
        <is>
          <t>x [MODEL]</t>
        </is>
      </c>
    </row>
    <row r="14">
      <c r="A14" t="inlineStr">
        <is>
          <t>Narrative</t>
        </is>
      </c>
      <c r="B14" t="inlineStr">
        <is>
          <t>Spot capitalises ~2.9x FY28 exit even on Street 18% growth → permanent Melio drag priced in. Street fair ~5.0x / bull ~5.8x on Ro40 restoration.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  <col width="10" customWidth="1" min="4" max="4"/>
    <col width="10" customWidth="1" min="5" max="5"/>
    <col width="22" customWidth="1" min="6" max="6"/>
    <col width="10" customWidth="1" min="7" max="7"/>
    <col width="50" customWidth="1" min="8" max="8"/>
    <col width="55" customWidth="1" min="9" max="9"/>
  </cols>
  <sheetData>
    <row r="1">
      <c r="A1" s="1" t="inlineStr">
        <is>
          <t>Probability-Weighted Catalyst Tree — UNIQUE EDGE #2 (Thesis/Catalysts 25%)</t>
        </is>
      </c>
    </row>
    <row r="3">
      <c r="A3" s="2" t="inlineStr">
        <is>
          <t>ID</t>
        </is>
      </c>
      <c r="B3" s="2" t="inlineStr">
        <is>
          <t>Catalyst</t>
        </is>
      </c>
      <c r="C3" s="2" t="inlineStr">
        <is>
          <t>P</t>
        </is>
      </c>
      <c r="D3" s="2" t="inlineStr">
        <is>
          <t>ΔPT_AUD</t>
        </is>
      </c>
      <c r="E3" s="2" t="inlineStr">
        <is>
          <t>P×ΔPT</t>
        </is>
      </c>
      <c r="F3" s="2" t="inlineStr">
        <is>
          <t>Window</t>
        </is>
      </c>
      <c r="G3" s="2" t="inlineStr">
        <is>
          <t>Direction</t>
        </is>
      </c>
      <c r="H3" s="2" t="inlineStr">
        <is>
          <t>KPI</t>
        </is>
      </c>
      <c r="I3" s="2" t="inlineStr">
        <is>
          <t>Kill_switch</t>
        </is>
      </c>
    </row>
    <row r="4">
      <c r="A4" t="inlineStr">
        <is>
          <t>C1</t>
        </is>
      </c>
      <c r="B4" t="inlineStr">
        <is>
          <t>Melio H2 FY28 BE path reaffirmed</t>
        </is>
      </c>
      <c r="C4" s="4" t="n">
        <v>0.65</v>
      </c>
      <c r="D4" s="3" t="n">
        <v>12</v>
      </c>
      <c r="E4" s="3" t="n">
        <v>7.8</v>
      </c>
      <c r="F4" t="inlineStr">
        <is>
          <t>Nov 2026 – May 2027</t>
        </is>
      </c>
      <c r="G4" t="inlineStr">
        <is>
          <t>upside</t>
        </is>
      </c>
      <c r="H4" t="inlineStr">
        <is>
          <t>Mgmt reiterates H2 FY28 run-rate adj EBITDA BE; Melio loss trajectory</t>
        </is>
      </c>
      <c r="I4" t="inlineStr">
        <is>
          <t>BE slipped past FY28 → strip C1; cut Melio EV 40%; base PT → A$70</t>
        </is>
      </c>
    </row>
    <row r="5">
      <c r="A5" t="inlineStr">
        <is>
          <t>C2</t>
        </is>
      </c>
      <c r="B5" t="inlineStr">
        <is>
          <t>FY27 guide reaffirm / top-half delivery</t>
        </is>
      </c>
      <c r="C5" s="4" t="n">
        <v>0.55</v>
      </c>
      <c r="D5" s="3" t="n">
        <v>6</v>
      </c>
      <c r="E5" s="3" t="n">
        <v>3.3</v>
      </c>
      <c r="F5" t="inlineStr">
        <is>
          <t>Nov 2026 (H1) / May 2027</t>
        </is>
      </c>
      <c r="G5" t="inlineStr">
        <is>
          <t>upside</t>
        </is>
      </c>
      <c r="H5" t="inlineStr">
        <is>
          <t>Rev &amp; adj EBITDA vs NZ$3.62–3.73bn / NZ$860–920m</t>
        </is>
      </c>
      <c r="I5" t="inlineStr">
        <is>
          <t>Cut below guide floors → open bear weight to 35%+</t>
        </is>
      </c>
    </row>
    <row r="6">
      <c r="A6" t="inlineStr">
        <is>
          <t>C3</t>
        </is>
      </c>
      <c r="B6" t="inlineStr">
        <is>
          <t>US payments take-rate + Melio↔Xero attach</t>
        </is>
      </c>
      <c r="C6" s="4" t="n">
        <v>0.5</v>
      </c>
      <c r="D6" s="3" t="n">
        <v>8</v>
      </c>
      <c r="E6" s="3" t="n">
        <v>4</v>
      </c>
      <c r="F6" t="inlineStr">
        <is>
          <t>FY27 H1–H2</t>
        </is>
      </c>
      <c r="G6" t="inlineStr">
        <is>
          <t>upside</t>
        </is>
      </c>
      <c r="H6" t="inlineStr">
        <is>
          <t>Payments rev growth; ARPC; TPV/customer; US NCA</t>
        </is>
      </c>
      <c r="I6" t="inlineStr">
        <is>
          <t>Payments growth &lt;25% YoY for 2 consecutive halves</t>
        </is>
      </c>
    </row>
    <row r="7">
      <c r="A7" t="inlineStr">
        <is>
          <t>C4</t>
        </is>
      </c>
      <c r="B7" t="inlineStr">
        <is>
          <t>FY28 Rule-of-40 ≥40 path credible</t>
        </is>
      </c>
      <c r="C7" s="4" t="n">
        <v>0.45</v>
      </c>
      <c r="D7" s="3" t="n">
        <v>10</v>
      </c>
      <c r="E7" s="3" t="n">
        <v>4.5</v>
      </c>
      <c r="F7" t="inlineStr">
        <is>
          <t>FY27 results → FY28 outlook</t>
        </is>
      </c>
      <c r="G7" t="inlineStr">
        <is>
          <t>upside</t>
        </is>
      </c>
      <c r="H7" t="inlineStr">
        <is>
          <t>Pro-forma Ro40 from ~36% toward ≥40%</t>
        </is>
      </c>
      <c r="I7" t="inlineStr">
        <is>
          <t>FY28 pro-forma Ro40 guided &lt;38% → multiple stays compressed</t>
        </is>
      </c>
    </row>
    <row r="8">
      <c r="A8" t="inlineStr">
        <is>
          <t>C5</t>
        </is>
      </c>
      <c r="B8" t="inlineStr">
        <is>
          <t>JAX/AI early monetisation (ARPC)</t>
        </is>
      </c>
      <c r="C8" s="4" t="n">
        <v>0.4</v>
      </c>
      <c r="D8" s="3" t="n">
        <v>5</v>
      </c>
      <c r="E8" s="3" t="n">
        <v>2</v>
      </c>
      <c r="F8" t="inlineStr">
        <is>
          <t>FY27–H1 FY28</t>
        </is>
      </c>
      <c r="G8" t="inlineStr">
        <is>
          <t>upside</t>
        </is>
      </c>
      <c r="H8" t="inlineStr">
        <is>
          <t>Priced AI SKU / consumption pilots; ARPC ex-payments</t>
        </is>
      </c>
      <c r="I8" t="inlineStr">
        <is>
          <t>Immaterial AI ARPC by FY27 results → C5 = 0</t>
        </is>
      </c>
    </row>
    <row r="9">
      <c r="A9" t="inlineStr">
        <is>
          <t>C6</t>
        </is>
      </c>
      <c r="B9" t="inlineStr">
        <is>
          <t>Multiple re-rate as Melio EBITDA troughs</t>
        </is>
      </c>
      <c r="C9" s="4" t="n">
        <v>0.5</v>
      </c>
      <c r="D9" s="3" t="n">
        <v>9</v>
      </c>
      <c r="E9" s="3" t="n">
        <v>4.5</v>
      </c>
      <c r="F9" t="inlineStr">
        <is>
          <t>H2 FY27 – H1 FY28</t>
        </is>
      </c>
      <c r="G9" t="inlineStr">
        <is>
          <t>upside</t>
        </is>
      </c>
      <c r="H9" t="inlineStr">
        <is>
          <t>Group adj EBITDA margin inflection; FCF conversion</t>
        </is>
      </c>
      <c r="I9" t="inlineStr">
        <is>
          <t>Margins roll over despite revenue → cancel C6</t>
        </is>
      </c>
    </row>
    <row r="10">
      <c r="A10" t="inlineStr">
        <is>
          <t>C7</t>
        </is>
      </c>
      <c r="B10" t="inlineStr">
        <is>
          <t>DOWN: Melio integration / US brand ROI miss</t>
        </is>
      </c>
      <c r="C10" s="4" t="n">
        <v>0.3</v>
      </c>
      <c r="D10" s="3" t="n">
        <v>-14</v>
      </c>
      <c r="E10" s="3" t="n">
        <v>-4.2</v>
      </c>
      <c r="F10" t="inlineStr">
        <is>
          <t>Any time FY27</t>
        </is>
      </c>
      <c r="G10" t="inlineStr">
        <is>
          <t>downside</t>
        </is>
      </c>
      <c r="H10" t="inlineStr">
        <is>
          <t>Brand spend &gt;NZ$55m without NCA lift; Melio churn/synergy miss</t>
        </is>
      </c>
      <c r="I10" t="inlineStr">
        <is>
          <t>N/A (this is the kill path)</t>
        </is>
      </c>
    </row>
    <row r="11">
      <c r="A11" t="inlineStr">
        <is>
          <t>C8</t>
        </is>
      </c>
      <c r="B11" t="inlineStr">
        <is>
          <t>DOWN: SMB software risk-off derate</t>
        </is>
      </c>
      <c r="C11" s="4" t="n">
        <v>0.25</v>
      </c>
      <c r="D11" s="3" t="n">
        <v>-10</v>
      </c>
      <c r="E11" s="3" t="n">
        <v>-2.5</v>
      </c>
      <c r="F11" t="inlineStr">
        <is>
          <t>12m anytime</t>
        </is>
      </c>
      <c r="G11" t="inlineStr">
        <is>
          <t>downside</t>
        </is>
      </c>
      <c r="H11" t="inlineStr">
        <is>
          <t>ASX tech multiple compression; US SMB confidence</t>
        </is>
      </c>
      <c r="I11" t="inlineStr">
        <is>
          <t>N/A</t>
        </is>
      </c>
    </row>
    <row r="13">
      <c r="A13" t="inlineStr">
        <is>
          <t>Σ P×ΔPT</t>
        </is>
      </c>
      <c r="B13" t="n">
        <v>19.4</v>
      </c>
      <c r="C13" t="inlineStr">
        <is>
          <t>A$ informational cross-check; official PT from scenarios [MODEL]</t>
        </is>
      </c>
    </row>
    <row r="14">
      <c r="A14" t="inlineStr">
        <is>
          <t>Spot + Σ</t>
        </is>
      </c>
      <c r="B14" t="n">
        <v>79.40000000000001</v>
      </c>
      <c r="C14" t="inlineStr">
        <is>
          <t>[MODEL]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Melio Embedded Value Bridge — UNIQUE EDGE #3</t>
        </is>
      </c>
    </row>
    <row r="2">
      <c r="A2" t="inlineStr">
        <is>
          <t>Melio = option-like path to H2 FY28 adj-EBITDA run-rate BE; valued SEPARATE from core SaaS</t>
        </is>
      </c>
    </row>
    <row r="4">
      <c r="A4" s="2" t="inlineStr">
        <is>
          <t>Case</t>
        </is>
      </c>
      <c r="B4" s="2" t="inlineStr">
        <is>
          <t>FY28 rev NZDm</t>
        </is>
      </c>
      <c r="C4" s="2" t="inlineStr">
        <is>
          <t>FY29 rev NZDm</t>
        </is>
      </c>
      <c r="D4" s="2" t="inlineStr">
        <is>
          <t>FY29 EV/Sales</t>
        </is>
      </c>
      <c r="E4" s="2" t="inlineStr">
        <is>
          <t>PV A$/sh</t>
        </is>
      </c>
      <c r="F4" s="2" t="inlineStr">
        <is>
          <t>EBITDA x-check A$/sh</t>
        </is>
      </c>
      <c r="G4" s="2" t="inlineStr">
        <is>
          <t>Tag</t>
        </is>
      </c>
    </row>
    <row r="5">
      <c r="A5" t="inlineStr">
        <is>
          <t>Bear_slip</t>
        </is>
      </c>
      <c r="B5" t="n">
        <v>280</v>
      </c>
      <c r="C5" t="n">
        <v>314</v>
      </c>
      <c r="D5" t="n">
        <v>2.5</v>
      </c>
      <c r="E5" t="n">
        <v>2.43</v>
      </c>
      <c r="F5" t="n">
        <v>-0.1</v>
      </c>
      <c r="G5" t="inlineStr">
        <is>
          <t>[MODEL]</t>
        </is>
      </c>
    </row>
    <row r="6">
      <c r="A6" t="inlineStr">
        <is>
          <t>Base_BE_path</t>
        </is>
      </c>
      <c r="B6" t="n">
        <v>420</v>
      </c>
      <c r="C6" t="n">
        <v>512</v>
      </c>
      <c r="D6" t="n">
        <v>4</v>
      </c>
      <c r="E6" t="n">
        <v>8.039999999999999</v>
      </c>
      <c r="F6" t="n">
        <v>3.34</v>
      </c>
      <c r="G6" t="inlineStr">
        <is>
          <t>[MODEL]</t>
        </is>
      </c>
    </row>
    <row r="7">
      <c r="A7" t="inlineStr">
        <is>
          <t>Bull_attach</t>
        </is>
      </c>
      <c r="B7" t="n">
        <v>550</v>
      </c>
      <c r="C7" t="n">
        <v>704</v>
      </c>
      <c r="D7" t="n">
        <v>5</v>
      </c>
      <c r="E7" t="n">
        <v>14.33</v>
      </c>
      <c r="F7" t="n">
        <v>9.050000000000001</v>
      </c>
      <c r="G7" t="inlineStr">
        <is>
          <t>[MODEL]</t>
        </is>
      </c>
    </row>
    <row r="9">
      <c r="A9" t="inlineStr">
        <is>
          <t>PW Melio A$/sh</t>
        </is>
      </c>
      <c r="B9" t="n">
        <v>8.210000000000001</v>
      </c>
    </row>
    <row r="10">
      <c r="A10" t="inlineStr">
        <is>
          <t>Base (SOTP) Melio A$/sh</t>
        </is>
      </c>
      <c r="B10" t="n">
        <v>8.039999999999999</v>
      </c>
    </row>
    <row r="11">
      <c r="A11" t="inlineStr">
        <is>
          <t>Weights bear/base/bull</t>
        </is>
      </c>
      <c r="B11" t="inlineStr">
        <is>
          <t>0.25 / 0.50 / 0.25</t>
        </is>
      </c>
    </row>
    <row r="13">
      <c r="A13" t="inlineStr">
        <is>
          <t>Sensitivity</t>
        </is>
      </c>
      <c r="B13" t="inlineStr">
        <is>
          <t>±1.0x FY29 EV/Sales ≈ ±A$4–6/sh; BE slip (Base→Bear) ≈ −A$10–12/sh</t>
        </is>
      </c>
    </row>
    <row r="14">
      <c r="A14" t="inlineStr">
        <is>
          <t>Kill-switch</t>
        </is>
      </c>
      <c r="B14" t="inlineStr">
        <is>
          <t>BE past FY28 collapses Base→Bear → pitch PT toward A$70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36" customWidth="1" min="4" max="4"/>
  </cols>
  <sheetData>
    <row r="1">
      <c r="A1" s="1" t="inlineStr">
        <is>
          <t>SOTP + DCF cross-check — Valuation 20%</t>
        </is>
      </c>
    </row>
    <row r="3">
      <c r="A3" s="2" t="inlineStr">
        <is>
          <t>Component</t>
        </is>
      </c>
      <c r="B3" s="2" t="inlineStr">
        <is>
          <t>A$/sh</t>
        </is>
      </c>
      <c r="C3" s="2" t="inlineStr">
        <is>
          <t>Tag</t>
        </is>
      </c>
      <c r="D3" s="2" t="inlineStr">
        <is>
          <t>Note</t>
        </is>
      </c>
    </row>
    <row r="4">
      <c r="A4" t="inlineStr">
        <is>
          <t>Core Xero SaaS (ex-Melio)</t>
        </is>
      </c>
      <c r="B4" t="n">
        <v>93.84999999999999</v>
      </c>
      <c r="C4" t="inlineStr">
        <is>
          <t>[MODEL]</t>
        </is>
      </c>
      <c r="D4" t="inlineStr">
        <is>
          <t>ex-Melio SaaS DCF/multiples</t>
        </is>
      </c>
    </row>
    <row r="5">
      <c r="A5" t="inlineStr">
        <is>
          <t>Melio option (base BE path)</t>
        </is>
      </c>
      <c r="B5" t="n">
        <v>8.039999999999999</v>
      </c>
      <c r="C5" t="inlineStr">
        <is>
          <t>[MODEL]</t>
        </is>
      </c>
      <c r="D5" t="inlineStr">
        <is>
          <t>from 04_Melio_Bridge</t>
        </is>
      </c>
    </row>
    <row r="6">
      <c r="A6" t="inlineStr">
        <is>
          <t>Other (AI net of brand)</t>
        </is>
      </c>
      <c r="B6" t="n">
        <v>3.5</v>
      </c>
      <c r="C6" t="inlineStr">
        <is>
          <t>[ASSUMPTION]</t>
        </is>
      </c>
      <c r="D6" t="inlineStr"/>
    </row>
    <row r="7">
      <c r="A7" t="inlineStr">
        <is>
          <t>SOTP total</t>
        </is>
      </c>
      <c r="B7" t="n">
        <v>105.39</v>
      </c>
      <c r="C7" t="inlineStr">
        <is>
          <t>[MODEL]</t>
        </is>
      </c>
      <c r="D7" t="inlineStr"/>
    </row>
    <row r="8">
      <c r="A8" t="inlineStr">
        <is>
          <t>Pitch Base PT</t>
        </is>
      </c>
      <c r="B8" t="n">
        <v>90</v>
      </c>
      <c r="C8" t="inlineStr">
        <is>
          <t>[MODEL]</t>
        </is>
      </c>
      <c r="D8" t="inlineStr">
        <is>
          <t>CONSERVATIVE vs SOTP</t>
        </is>
      </c>
    </row>
    <row r="10">
      <c r="A10" t="inlineStr">
        <is>
          <t>Conservatism buffer</t>
        </is>
      </c>
      <c r="B10">
        <f>B7-B8</f>
        <v/>
      </c>
      <c r="C10" t="inlineStr">
        <is>
          <t>SOTP − Pitch PT [MODEL]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70" customWidth="1" min="5" max="5"/>
  </cols>
  <sheetData>
    <row r="1">
      <c r="A1" s="1" t="inlineStr">
        <is>
          <t>Scenario PTs → E[PT] (show arithmetic live to judges)</t>
        </is>
      </c>
    </row>
    <row r="3">
      <c r="A3" s="2" t="inlineStr">
        <is>
          <t>Scenario</t>
        </is>
      </c>
      <c r="B3" s="2" t="inlineStr">
        <is>
          <t>Weight</t>
        </is>
      </c>
      <c r="C3" s="2" t="inlineStr">
        <is>
          <t>PT A$</t>
        </is>
      </c>
      <c r="D3" s="2" t="inlineStr">
        <is>
          <t>w×PT</t>
        </is>
      </c>
      <c r="E3" s="2" t="inlineStr">
        <is>
          <t>Drivers</t>
        </is>
      </c>
    </row>
    <row r="4">
      <c r="A4" t="inlineStr">
        <is>
          <t>Bull</t>
        </is>
      </c>
      <c r="B4" s="4" t="n">
        <v>0.25</v>
      </c>
      <c r="C4" t="n">
        <v>118</v>
      </c>
      <c r="D4">
        <f>B4*C4</f>
        <v/>
      </c>
      <c r="E4" t="inlineStr">
        <is>
          <t>Melio BE on time; Ro40≥45; payments attach; exit ~5.8x FY28 sales</t>
        </is>
      </c>
    </row>
    <row r="5">
      <c r="A5" t="inlineStr">
        <is>
          <t>Base</t>
        </is>
      </c>
      <c r="B5" s="4" t="n">
        <v>0.55</v>
      </c>
      <c r="C5" t="n">
        <v>90</v>
      </c>
      <c r="D5">
        <f>B5*C5</f>
        <v/>
      </c>
      <c r="E5" t="inlineStr">
        <is>
          <t>Melio BE path intact; Ro40 ~41–42; exit ~5.0x FY28; guide mid</t>
        </is>
      </c>
    </row>
    <row r="6">
      <c r="A6" t="inlineStr">
        <is>
          <t>Bear</t>
        </is>
      </c>
      <c r="B6" s="4" t="n">
        <v>0.2</v>
      </c>
      <c r="C6" t="n">
        <v>55</v>
      </c>
      <c r="D6">
        <f>B6*C6</f>
        <v/>
      </c>
      <c r="E6" t="inlineStr">
        <is>
          <t>Melio BE slips; Ro40&lt;38; brand ROI miss; exit stuck ~3x</t>
        </is>
      </c>
    </row>
    <row r="8">
      <c r="A8" t="inlineStr">
        <is>
          <t>E[PT]</t>
        </is>
      </c>
      <c r="B8">
        <f>D4+D5+D6</f>
        <v/>
      </c>
      <c r="C8" t="inlineStr">
        <is>
          <t>[MODEL] must = Base PT pitch</t>
        </is>
      </c>
    </row>
    <row r="9">
      <c r="A9" t="inlineStr">
        <is>
          <t>Pitch Base PT</t>
        </is>
      </c>
      <c r="B9" t="n">
        <v>90</v>
      </c>
      <c r="C9" t="inlineStr">
        <is>
          <t>A$</t>
        </is>
      </c>
    </row>
    <row r="10">
      <c r="A10" t="inlineStr">
        <is>
          <t>Upside vs spot A$60</t>
        </is>
      </c>
      <c r="B10" s="4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Crowding Defense — UNIQUE EDGE #4</t>
        </is>
      </c>
    </row>
    <row r="3">
      <c r="A3" t="inlineStr">
        <is>
          <t>Street sample (verify primary notes)</t>
        </is>
      </c>
    </row>
    <row r="4">
      <c r="A4" t="inlineStr">
        <is>
          <t>Buys / Holds</t>
        </is>
      </c>
      <c r="B4" t="inlineStr">
        <is>
          <t>5 / 1</t>
        </is>
      </c>
    </row>
    <row r="5">
      <c r="A5" t="inlineStr">
        <is>
          <t>PT range</t>
        </is>
      </c>
      <c r="B5" t="inlineStr">
        <is>
          <t>A$77–130</t>
        </is>
      </c>
    </row>
    <row r="6">
      <c r="A6" t="inlineStr">
        <is>
          <t>Named avg / TV 3m avg</t>
        </is>
      </c>
      <c r="B6" t="inlineStr">
        <is>
          <t>A$108 / A$111</t>
        </is>
      </c>
    </row>
    <row r="7">
      <c r="A7" t="inlineStr">
        <is>
          <t>Source</t>
        </is>
      </c>
      <c r="B7" t="inlineStr">
        <is>
          <t>Fool AU 21 Sep 2026 + stockanalysis/S&amp;P summaries [SECONDARY]</t>
        </is>
      </c>
    </row>
    <row r="9">
      <c r="A9" t="inlineStr">
        <is>
          <t>REJECT</t>
        </is>
      </c>
      <c r="B9" t="inlineStr">
        <is>
          <t>Motley Fool 'buy the dip / brokers +76–130%' + generic AI-moat — LONG the consensus BUY wall without falsifiable Melio-timing edge</t>
        </is>
      </c>
    </row>
    <row r="11">
      <c r="A11" t="inlineStr">
        <is>
          <t>OUR EDGE</t>
        </is>
      </c>
    </row>
    <row r="12">
      <c r="A12" t="inlineStr">
        <is>
          <t>1) Melio monetisation TIMING (H2 FY28 BE) as binding constraint on Ro40</t>
        </is>
      </c>
    </row>
    <row r="13">
      <c r="A13" t="inlineStr">
        <is>
          <t>2) Expectations gap — spot capitalises ~3x exit even on Street growth</t>
        </is>
      </c>
    </row>
    <row r="14">
      <c r="A14" t="inlineStr">
        <is>
          <t>3) PWCT with kill-switches</t>
        </is>
      </c>
    </row>
    <row r="15">
      <c r="A15" t="inlineStr">
        <is>
          <t>4) Base PT A$90 is ~19% BELOW TV Street avg and 50% ABOVE spot</t>
        </is>
      </c>
    </row>
    <row r="17">
      <c r="A17" t="inlineStr">
        <is>
          <t>Falsifier</t>
        </is>
      </c>
      <c r="B17" t="inlineStr">
        <is>
          <t>Melio BE slip past FY28 → cut PT to A$70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</cols>
  <sheetData>
    <row r="1">
      <c r="A1" s="1" t="inlineStr">
        <is>
          <t>Macro overlay (rubric 10%) — keep ≤60s in pitch</t>
        </is>
      </c>
    </row>
    <row r="3">
      <c r="A3" s="2" t="inlineStr">
        <is>
          <t>Theme</t>
        </is>
      </c>
      <c r="B3" s="2" t="inlineStr">
        <is>
          <t>Link to PWCT</t>
        </is>
      </c>
    </row>
    <row r="4">
      <c r="A4" t="inlineStr">
        <is>
          <t>US SMB / rate path → software + payments TPV</t>
        </is>
      </c>
      <c r="B4" t="inlineStr">
        <is>
          <t>Supports C3 P</t>
        </is>
      </c>
    </row>
    <row r="5">
      <c r="A5" t="inlineStr">
        <is>
          <t>YTD derate = Melio dilution + multiple compression, NOT revenue break (FY26 +31% rev)</t>
        </is>
      </c>
      <c r="B5" t="inlineStr">
        <is>
          <t>Thesis setup</t>
        </is>
      </c>
    </row>
    <row r="6">
      <c r="A6" t="inlineStr">
        <is>
          <t>FX NZD reporting / AUD quote</t>
        </is>
      </c>
      <c r="B6" t="inlineStr">
        <is>
          <t>Disclose FX 0.90 on Cover</t>
        </is>
      </c>
    </row>
    <row r="7">
      <c r="A7" t="inlineStr">
        <is>
          <t>SMB risk-off</t>
        </is>
      </c>
      <c r="B7" t="inlineStr">
        <is>
          <t>Feeds C8 downside P=25%</t>
        </is>
      </c>
    </row>
    <row r="9">
      <c r="A9" t="inlineStr">
        <is>
          <t>Pivot line</t>
        </is>
      </c>
      <c r="B9" t="inlineStr">
        <is>
          <t>Macro sets the stage; the gap is company-specific.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28" customWidth="1" min="3" max="3"/>
    <col width="36" customWidth="1" min="4" max="4"/>
  </cols>
  <sheetData>
    <row r="1">
      <c r="A1" s="1" t="inlineStr">
        <is>
          <t>Risks &amp; Governance (rubric 5%) — operationalised as kill-switches</t>
        </is>
      </c>
    </row>
    <row r="3">
      <c r="A3" s="2" t="inlineStr">
        <is>
          <t>Risk</t>
        </is>
      </c>
      <c r="B3" s="2" t="inlineStr">
        <is>
          <t>Severity</t>
        </is>
      </c>
      <c r="C3" s="2" t="inlineStr">
        <is>
          <t>Mitigant / Kill-switch</t>
        </is>
      </c>
      <c r="D3" s="2" t="inlineStr">
        <is>
          <t>Gov angle</t>
        </is>
      </c>
    </row>
    <row r="4">
      <c r="A4" t="inlineStr">
        <is>
          <t>Melio BE slip / integration miss</t>
        </is>
      </c>
      <c r="B4" t="inlineStr">
        <is>
          <t>High</t>
        </is>
      </c>
      <c r="C4" t="inlineStr">
        <is>
          <t>C1/C7 → PT A$70</t>
        </is>
      </c>
      <c r="D4" t="inlineStr">
        <is>
          <t>Board earnout / integration KPI oversight</t>
        </is>
      </c>
    </row>
    <row r="5">
      <c r="A5" t="inlineStr">
        <is>
          <t>FY27 guide miss</t>
        </is>
      </c>
      <c r="B5" t="inlineStr">
        <is>
          <t>Med</t>
        </is>
      </c>
      <c r="C5" t="inlineStr">
        <is>
          <t>C2 → raise bear weight</t>
        </is>
      </c>
      <c r="D5" t="inlineStr">
        <is>
          <t>Guidance discipline</t>
        </is>
      </c>
    </row>
    <row r="6">
      <c r="A6" t="inlineStr">
        <is>
          <t>Contingent consideration cash</t>
        </is>
      </c>
      <c r="B6" t="inlineStr">
        <is>
          <t>Med</t>
        </is>
      </c>
      <c r="C6" t="inlineStr">
        <is>
          <t>Liquidity / dilution watch</t>
        </is>
      </c>
      <c r="D6" t="inlineStr">
        <is>
          <t>Disclosure of earnout triggers</t>
        </is>
      </c>
    </row>
    <row r="7">
      <c r="A7" t="inlineStr">
        <is>
          <t>Payments compliance / brand ROI</t>
        </is>
      </c>
      <c r="B7" t="inlineStr">
        <is>
          <t>Med</t>
        </is>
      </c>
      <c r="C7" t="inlineStr">
        <is>
          <t>C3/C7 KPIs</t>
        </is>
      </c>
      <c r="D7" t="inlineStr">
        <is>
          <t>US spend ROI reporting</t>
        </is>
      </c>
    </row>
    <row r="8">
      <c r="A8" t="inlineStr">
        <is>
          <t>Crowded Buy unwind</t>
        </is>
      </c>
      <c r="B8" t="inlineStr">
        <is>
          <t>Med</t>
        </is>
      </c>
      <c r="C8" t="inlineStr">
        <is>
          <t>Crowding defense + below-Street PT</t>
        </is>
      </c>
      <c r="D8" t="inlineStr">
        <is>
          <t>N/A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12" customWidth="1" min="3" max="3"/>
  </cols>
  <sheetData>
    <row r="1">
      <c r="A1" s="1" t="inlineStr">
        <is>
          <t>JUDGE DASHBOARD — one pager</t>
        </is>
      </c>
    </row>
    <row r="3">
      <c r="A3" t="inlineStr">
        <is>
          <t>Recommendation</t>
        </is>
      </c>
      <c r="B3" t="inlineStr">
        <is>
          <t>BUY ASX:XRO</t>
        </is>
      </c>
    </row>
    <row r="4">
      <c r="A4" t="inlineStr">
        <is>
          <t>Spot</t>
        </is>
      </c>
      <c r="B4" t="n">
        <v>60</v>
      </c>
      <c r="C4" t="inlineStr">
        <is>
          <t>A$</t>
        </is>
      </c>
    </row>
    <row r="5">
      <c r="A5" t="inlineStr">
        <is>
          <t>Base PT / E[PT]</t>
        </is>
      </c>
      <c r="B5" t="n">
        <v>90</v>
      </c>
      <c r="C5" t="inlineStr">
        <is>
          <t>A$ (+50%)</t>
        </is>
      </c>
    </row>
    <row r="6">
      <c r="A6" t="inlineStr">
        <is>
          <t>Bull / Bear</t>
        </is>
      </c>
      <c r="B6" t="inlineStr">
        <is>
          <t>118 / 55</t>
        </is>
      </c>
    </row>
    <row r="7">
      <c r="A7" t="inlineStr">
        <is>
          <t>SOTP (conservative pitch below)</t>
        </is>
      </c>
      <c r="B7" t="n">
        <v>105.39</v>
      </c>
    </row>
    <row r="8">
      <c r="A8" t="inlineStr">
        <is>
          <t>Σ P×ΔPT</t>
        </is>
      </c>
      <c r="B8" t="n">
        <v>19.4</v>
      </c>
    </row>
    <row r="9">
      <c r="A9" t="inlineStr">
        <is>
          <t>Spot-implied exit vs Street fair</t>
        </is>
      </c>
      <c r="B9" t="inlineStr">
        <is>
          <t>2.87x vs 5.0x</t>
        </is>
      </c>
    </row>
    <row r="10">
      <c r="A10" t="inlineStr">
        <is>
          <t>Melio base EV/sh</t>
        </is>
      </c>
      <c r="B10" t="n">
        <v>8.039999999999999</v>
      </c>
    </row>
    <row r="11">
      <c r="A11" t="inlineStr">
        <is>
          <t>Tagline</t>
        </is>
      </c>
      <c r="B11" t="inlineStr">
        <is>
          <t>The market prices Melio failure. We price Melio timing.</t>
        </is>
      </c>
    </row>
    <row r="13">
      <c r="A13" t="inlineStr">
        <is>
          <t>Rubric map</t>
        </is>
      </c>
    </row>
    <row r="14">
      <c r="A14" t="inlineStr">
        <is>
          <t>Macro 10% → tab 08 | Thesis+Catalysts 25% → tabs 02–04 | Valuation 20% → 05–06 | Risks 5% → 09 | Unique edges → Cover + 02/03/04/07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Sources — cite in deck; do not fabricate broker quotes</t>
        </is>
      </c>
    </row>
    <row r="3">
      <c r="A3" t="inlineStr">
        <is>
          <t>Xero FY26 / FY27 guide — company ASX releases (May 2026)</t>
        </is>
      </c>
    </row>
    <row r="4">
      <c r="A4" t="inlineStr">
        <is>
          <t>Melio acquisition — ASX 25 Jun 2025 (US$2.5bn + contingent up to US$0.5bn)</t>
        </is>
      </c>
    </row>
    <row r="5">
      <c r="A5" t="inlineStr">
        <is>
          <t>Motley Fool AU 21 Sep 2026 — price/context (SECONDARY; reject buy-the-dip framing)</t>
        </is>
      </c>
    </row>
    <row r="6">
      <c r="A6" t="inlineStr">
        <is>
          <t>stockanalysis / S&amp;P Global PT summaries — verify primary notes before finals</t>
        </is>
      </c>
    </row>
    <row r="7">
      <c r="A7" t="inlineStr">
        <is>
          <t>Tear sheets provided in FMAA case pack (FactSet ~21 Sep 2026)</t>
        </is>
      </c>
    </row>
    <row r="8">
      <c r="A8" t="inlineStr">
        <is>
          <t>Internal engine: pwct_engine.py / outputs/pwct_results.json (this repo)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2026-09-24T07:30:50Z</dcterms:created>
  <dcterms:modified xmlns:dcterms="http://purl.org/dc/terms/" xmlns:xsi="http://www.w3.org/2001/XMLSchema-instance" xsi:type="dcterms:W3CDTF">2026-09-24T07:30:50Z</dcterms:modified>
</cp:coreProperties>
</file>